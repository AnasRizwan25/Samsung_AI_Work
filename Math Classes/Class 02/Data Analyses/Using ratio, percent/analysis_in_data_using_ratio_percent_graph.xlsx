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R\Desktop\testing\"/>
    </mc:Choice>
  </mc:AlternateContent>
  <xr:revisionPtr revIDLastSave="0" documentId="8_{08A281A6-E1BE-435F-B064-368954810436}" xr6:coauthVersionLast="47" xr6:coauthVersionMax="47" xr10:uidLastSave="{00000000-0000-0000-0000-000000000000}"/>
  <bookViews>
    <workbookView xWindow="-120" yWindow="-120" windowWidth="24240" windowHeight="13140" xr2:uid="{B0D6A6A0-186F-4E46-BCFA-F0629F9EA387}"/>
  </bookViews>
  <sheets>
    <sheet name="Sheet1" sheetId="1" r:id="rId1"/>
  </sheets>
  <definedNames>
    <definedName name="_xlchart.v1.0" hidden="1">Sheet1!$B$3:$B$16</definedName>
    <definedName name="_xlchart.v1.1" hidden="1">Sheet1!$C$2</definedName>
    <definedName name="_xlchart.v1.10" hidden="1">Sheet1!$E$2</definedName>
    <definedName name="_xlchart.v1.11" hidden="1">Sheet1!$E$3:$E$16</definedName>
    <definedName name="_xlchart.v1.12" hidden="1">Sheet1!$F$2</definedName>
    <definedName name="_xlchart.v1.13" hidden="1">Sheet1!$F$3:$F$16</definedName>
    <definedName name="_xlchart.v1.14" hidden="1">Sheet1!$G$2</definedName>
    <definedName name="_xlchart.v1.15" hidden="1">Sheet1!$G$3:$G$16</definedName>
    <definedName name="_xlchart.v1.16" hidden="1">Sheet1!$H$2</definedName>
    <definedName name="_xlchart.v1.17" hidden="1">Sheet1!$H$3:$H$16</definedName>
    <definedName name="_xlchart.v1.18" hidden="1">Sheet1!$I$2</definedName>
    <definedName name="_xlchart.v1.19" hidden="1">Sheet1!$I$3:$I$16</definedName>
    <definedName name="_xlchart.v1.2" hidden="1">Sheet1!$C$3:$C$16</definedName>
    <definedName name="_xlchart.v1.20" hidden="1">Sheet1!$J$2</definedName>
    <definedName name="_xlchart.v1.21" hidden="1">Sheet1!$J$3:$J$16</definedName>
    <definedName name="_xlchart.v1.22" hidden="1">Sheet1!$K$2</definedName>
    <definedName name="_xlchart.v1.23" hidden="1">Sheet1!$K$3:$K$16</definedName>
    <definedName name="_xlchart.v1.24" hidden="1">Sheet1!$L$2</definedName>
    <definedName name="_xlchart.v1.25" hidden="1">Sheet1!$L$3:$L$16</definedName>
    <definedName name="_xlchart.v1.26" hidden="1">Sheet1!$M$2</definedName>
    <definedName name="_xlchart.v1.27" hidden="1">Sheet1!$M$3:$M$16</definedName>
    <definedName name="_xlchart.v1.28" hidden="1">Sheet1!$C$2</definedName>
    <definedName name="_xlchart.v1.29" hidden="1">Sheet1!$C$3:$C$16</definedName>
    <definedName name="_xlchart.v1.3" hidden="1">Sheet1!$D$2</definedName>
    <definedName name="_xlchart.v1.30" hidden="1">Sheet1!$D$2</definedName>
    <definedName name="_xlchart.v1.31" hidden="1">Sheet1!$D$3:$D$16</definedName>
    <definedName name="_xlchart.v1.4" hidden="1">Sheet1!$D$3:$D$16</definedName>
    <definedName name="_xlchart.v1.5" hidden="1">Sheet1!$B$3:$B$16</definedName>
    <definedName name="_xlchart.v1.6" hidden="1">Sheet1!$C$2</definedName>
    <definedName name="_xlchart.v1.7" hidden="1">Sheet1!$C$3:$C$16</definedName>
    <definedName name="_xlchart.v1.8" hidden="1">Sheet1!$D$2</definedName>
    <definedName name="_xlchart.v1.9" hidden="1">Sheet1!$D$3:$D$16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D25" i="1"/>
  <c r="C25" i="1"/>
  <c r="B25" i="1"/>
  <c r="M3" i="1" a="1"/>
  <c r="M3" i="1" s="1"/>
  <c r="L3" i="1" a="1"/>
  <c r="L3" i="1" s="1"/>
  <c r="I3" i="1" a="1"/>
  <c r="I3" i="1" s="1"/>
  <c r="I17" i="1" s="1"/>
  <c r="H17" i="1"/>
  <c r="K17" i="1"/>
  <c r="J17" i="1"/>
  <c r="K3" i="1" a="1"/>
  <c r="K3" i="1" s="1"/>
  <c r="J3" i="1" a="1"/>
  <c r="J3" i="1" s="1"/>
  <c r="F17" i="1"/>
  <c r="E18" i="1" s="1"/>
  <c r="E17" i="1"/>
  <c r="G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<sst xmlns="http://schemas.openxmlformats.org/spreadsheetml/2006/main" count="40" uniqueCount="40">
  <si>
    <t>Day</t>
  </si>
  <si>
    <t>Website Visits</t>
  </si>
  <si>
    <t>Purchases</t>
  </si>
  <si>
    <t>Electronics Sales</t>
  </si>
  <si>
    <t>Clothing Sales</t>
  </si>
  <si>
    <t>Groceries Sales</t>
  </si>
  <si>
    <t>Fraud Transactions</t>
  </si>
  <si>
    <t>Monday</t>
  </si>
  <si>
    <t>Tuesday</t>
  </si>
  <si>
    <t>Wednesday</t>
  </si>
  <si>
    <t>Thursday</t>
  </si>
  <si>
    <t>Friday</t>
  </si>
  <si>
    <t>Saturday</t>
  </si>
  <si>
    <t>Sunday</t>
  </si>
  <si>
    <t>Monday2</t>
  </si>
  <si>
    <t>Tuesday2</t>
  </si>
  <si>
    <t>Wednesday2</t>
  </si>
  <si>
    <t>Thursday2</t>
  </si>
  <si>
    <t>Friday2</t>
  </si>
  <si>
    <t>Saturday2</t>
  </si>
  <si>
    <t>Sunday2</t>
  </si>
  <si>
    <t>Total Sales</t>
  </si>
  <si>
    <t>Clothing Ratio</t>
  </si>
  <si>
    <t>Grocery Ratio</t>
  </si>
  <si>
    <t>Clothing is most profitable product</t>
  </si>
  <si>
    <t>Ratio Of Fraud Transaction</t>
  </si>
  <si>
    <t>Ratio Of Fraud Transaction In Percent</t>
  </si>
  <si>
    <t>Case 2: Monday(1 week) have 2nd high risk</t>
  </si>
  <si>
    <t>Case 1: Thusday(1 week and 2 week) have 1st high risk</t>
  </si>
  <si>
    <t>Case 3: Wednesday(2 week) have 3rd high risk</t>
  </si>
  <si>
    <t>Week 1 Purchase</t>
  </si>
  <si>
    <t>Week 2 Purchase</t>
  </si>
  <si>
    <t xml:space="preserve">Week2-week1 </t>
  </si>
  <si>
    <t>Percent week over week</t>
  </si>
  <si>
    <t>For grocery, marketing team should focus on Sunday</t>
  </si>
  <si>
    <t>Electronic Ratio</t>
  </si>
  <si>
    <t>For electronic, marketing team should focus on weekend</t>
  </si>
  <si>
    <t>For clothing, marketing team should focus on mid of week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</si>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</sst>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Sheet1!$E$2</c:f>
              <c:strCache>
                <c:ptCount val="1"/>
                <c:pt idx="0">
                  <c:v>Electronics Sales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Sheet1!$B$3:$B$16</c:f>
              <c:strCache>
                <c:ptCount val="14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Monday2</c:v>
                </c:pt>
                <c:pt idx="8">
                  <c:v>Tuesday2</c:v>
                </c:pt>
                <c:pt idx="9">
                  <c:v>Wednesday2</c:v>
                </c:pt>
                <c:pt idx="10">
                  <c:v>Thursday2</c:v>
                </c:pt>
                <c:pt idx="11">
                  <c:v>Friday2</c:v>
                </c:pt>
                <c:pt idx="12">
                  <c:v>Saturday2</c:v>
                </c:pt>
                <c:pt idx="13">
                  <c:v>Sunday2</c:v>
                </c:pt>
              </c:strCache>
            </c:strRef>
          </c:xVal>
          <c:yVal>
            <c:numRef>
              <c:f>Sheet1!$E$3:$E$16</c:f>
              <c:numCache>
                <c:formatCode>General</c:formatCode>
                <c:ptCount val="14"/>
                <c:pt idx="0">
                  <c:v>20000</c:v>
                </c:pt>
                <c:pt idx="1">
                  <c:v>18000</c:v>
                </c:pt>
                <c:pt idx="2">
                  <c:v>22000</c:v>
                </c:pt>
                <c:pt idx="3">
                  <c:v>25000</c:v>
                </c:pt>
                <c:pt idx="4">
                  <c:v>20000</c:v>
                </c:pt>
                <c:pt idx="5">
                  <c:v>15000</c:v>
                </c:pt>
                <c:pt idx="6">
                  <c:v>12000</c:v>
                </c:pt>
                <c:pt idx="7">
                  <c:v>18000</c:v>
                </c:pt>
                <c:pt idx="8">
                  <c:v>20000</c:v>
                </c:pt>
                <c:pt idx="9">
                  <c:v>21000</c:v>
                </c:pt>
                <c:pt idx="10">
                  <c:v>24000</c:v>
                </c:pt>
                <c:pt idx="11">
                  <c:v>20000</c:v>
                </c:pt>
                <c:pt idx="12">
                  <c:v>15000</c:v>
                </c:pt>
                <c:pt idx="13">
                  <c:v>13000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25-4596-814A-395CB0BA1D2C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Clothing Sales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Sheet1!$B$3:$B$16</c:f>
              <c:strCache>
                <c:ptCount val="14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Monday2</c:v>
                </c:pt>
                <c:pt idx="8">
                  <c:v>Tuesday2</c:v>
                </c:pt>
                <c:pt idx="9">
                  <c:v>Wednesday2</c:v>
                </c:pt>
                <c:pt idx="10">
                  <c:v>Thursday2</c:v>
                </c:pt>
                <c:pt idx="11">
                  <c:v>Friday2</c:v>
                </c:pt>
                <c:pt idx="12">
                  <c:v>Saturday2</c:v>
                </c:pt>
                <c:pt idx="13">
                  <c:v>Sunday2</c:v>
                </c:pt>
              </c:strCache>
            </c:strRef>
          </c:xVal>
          <c:yVal>
            <c:numRef>
              <c:f>Sheet1!$F$3:$F$16</c:f>
              <c:numCache>
                <c:formatCode>General</c:formatCode>
                <c:ptCount val="14"/>
                <c:pt idx="0">
                  <c:v>30000</c:v>
                </c:pt>
                <c:pt idx="1">
                  <c:v>25000</c:v>
                </c:pt>
                <c:pt idx="2">
                  <c:v>35000</c:v>
                </c:pt>
                <c:pt idx="3">
                  <c:v>30000</c:v>
                </c:pt>
                <c:pt idx="4">
                  <c:v>28000</c:v>
                </c:pt>
                <c:pt idx="5">
                  <c:v>20000</c:v>
                </c:pt>
                <c:pt idx="6">
                  <c:v>18000</c:v>
                </c:pt>
                <c:pt idx="7">
                  <c:v>28000</c:v>
                </c:pt>
                <c:pt idx="8">
                  <c:v>30000</c:v>
                </c:pt>
                <c:pt idx="9">
                  <c:v>34000</c:v>
                </c:pt>
                <c:pt idx="10">
                  <c:v>35000</c:v>
                </c:pt>
                <c:pt idx="11">
                  <c:v>28000</c:v>
                </c:pt>
                <c:pt idx="12">
                  <c:v>22000</c:v>
                </c:pt>
                <c:pt idx="13">
                  <c:v>19000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25-4596-814A-395CB0BA1D2C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Groceries Sales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Sheet1!$B$3:$B$16</c:f>
              <c:strCache>
                <c:ptCount val="14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Monday2</c:v>
                </c:pt>
                <c:pt idx="8">
                  <c:v>Tuesday2</c:v>
                </c:pt>
                <c:pt idx="9">
                  <c:v>Wednesday2</c:v>
                </c:pt>
                <c:pt idx="10">
                  <c:v>Thursday2</c:v>
                </c:pt>
                <c:pt idx="11">
                  <c:v>Friday2</c:v>
                </c:pt>
                <c:pt idx="12">
                  <c:v>Saturday2</c:v>
                </c:pt>
                <c:pt idx="13">
                  <c:v>Sunday2</c:v>
                </c:pt>
              </c:strCache>
            </c:strRef>
          </c:xVal>
          <c:yVal>
            <c:numRef>
              <c:f>Sheet1!$G$3:$G$16</c:f>
              <c:numCache>
                <c:formatCode>General</c:formatCode>
                <c:ptCount val="14"/>
                <c:pt idx="0">
                  <c:v>10000</c:v>
                </c:pt>
                <c:pt idx="1">
                  <c:v>9000</c:v>
                </c:pt>
                <c:pt idx="2">
                  <c:v>12000</c:v>
                </c:pt>
                <c:pt idx="3">
                  <c:v>15000</c:v>
                </c:pt>
                <c:pt idx="4">
                  <c:v>12000</c:v>
                </c:pt>
                <c:pt idx="5">
                  <c:v>8000</c:v>
                </c:pt>
                <c:pt idx="6">
                  <c:v>6000</c:v>
                </c:pt>
                <c:pt idx="7">
                  <c:v>12000</c:v>
                </c:pt>
                <c:pt idx="8">
                  <c:v>10000</c:v>
                </c:pt>
                <c:pt idx="9">
                  <c:v>11000</c:v>
                </c:pt>
                <c:pt idx="10">
                  <c:v>13000</c:v>
                </c:pt>
                <c:pt idx="11">
                  <c:v>12000</c:v>
                </c:pt>
                <c:pt idx="12">
                  <c:v>9000</c:v>
                </c:pt>
                <c:pt idx="13">
                  <c:v>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25-4596-814A-395CB0BA1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09792"/>
        <c:axId val="2098093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Sheet1!$C$2</c15:sqref>
                        </c15:formulaRef>
                      </c:ext>
                    </c:extLst>
                    <c:strCache>
                      <c:ptCount val="1"/>
                      <c:pt idx="0">
                        <c:v>Website Visits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Sheet1!$B$3:$B$16</c15:sqref>
                        </c15:formulaRef>
                      </c:ext>
                    </c:extLst>
                    <c:strCache>
                      <c:ptCount val="14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  <c:pt idx="13">
                        <c:v>Sunday2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Sheet1!$C$3:$C$16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1500</c:v>
                      </c:pt>
                      <c:pt idx="1">
                        <c:v>1200</c:v>
                      </c:pt>
                      <c:pt idx="2">
                        <c:v>1800</c:v>
                      </c:pt>
                      <c:pt idx="3">
                        <c:v>2000</c:v>
                      </c:pt>
                      <c:pt idx="4">
                        <c:v>1600</c:v>
                      </c:pt>
                      <c:pt idx="5">
                        <c:v>1000</c:v>
                      </c:pt>
                      <c:pt idx="6">
                        <c:v>900</c:v>
                      </c:pt>
                      <c:pt idx="7">
                        <c:v>1400</c:v>
                      </c:pt>
                      <c:pt idx="8">
                        <c:v>1300</c:v>
                      </c:pt>
                      <c:pt idx="9">
                        <c:v>1700</c:v>
                      </c:pt>
                      <c:pt idx="10">
                        <c:v>1900</c:v>
                      </c:pt>
                      <c:pt idx="11">
                        <c:v>1500</c:v>
                      </c:pt>
                      <c:pt idx="12">
                        <c:v>1100</c:v>
                      </c:pt>
                      <c:pt idx="13">
                        <c:v>950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C25-4596-814A-395CB0BA1D2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Sheet1!$D$2</c15:sqref>
                        </c15:formulaRef>
                      </c:ext>
                    </c:extLst>
                    <c:strCache>
                      <c:ptCount val="1"/>
                      <c:pt idx="0">
                        <c:v>Purchases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Sheet1!$B$3:$B$16</c15:sqref>
                        </c15:formulaRef>
                      </c:ext>
                    </c:extLst>
                    <c:strCache>
                      <c:ptCount val="14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  <c:pt idx="13">
                        <c:v>Sunday2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Sheet1!$D$3:$D$16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75</c:v>
                      </c:pt>
                      <c:pt idx="1">
                        <c:v>60</c:v>
                      </c:pt>
                      <c:pt idx="2">
                        <c:v>90</c:v>
                      </c:pt>
                      <c:pt idx="3">
                        <c:v>80</c:v>
                      </c:pt>
                      <c:pt idx="4">
                        <c:v>64</c:v>
                      </c:pt>
                      <c:pt idx="5">
                        <c:v>50</c:v>
                      </c:pt>
                      <c:pt idx="6">
                        <c:v>45</c:v>
                      </c:pt>
                      <c:pt idx="7">
                        <c:v>70</c:v>
                      </c:pt>
                      <c:pt idx="8">
                        <c:v>65</c:v>
                      </c:pt>
                      <c:pt idx="9">
                        <c:v>85</c:v>
                      </c:pt>
                      <c:pt idx="10">
                        <c:v>95</c:v>
                      </c:pt>
                      <c:pt idx="11">
                        <c:v>75</c:v>
                      </c:pt>
                      <c:pt idx="12">
                        <c:v>55</c:v>
                      </c:pt>
                      <c:pt idx="13">
                        <c:v>48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C25-4596-814A-395CB0BA1D2C}"/>
                  </c:ext>
                </c:extLst>
              </c15:ser>
            </c15:filteredScatterSeries>
          </c:ext>
        </c:extLst>
      </c:scatterChart>
      <c:valAx>
        <c:axId val="20980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9312"/>
        <c:crosses val="autoZero"/>
        <c:crossBetween val="midCat"/>
      </c:valAx>
      <c:valAx>
        <c:axId val="20980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0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Website Visits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Sheet1!$C$3:$C$16</c:f>
              <c:numCache>
                <c:formatCode>General</c:formatCode>
                <c:ptCount val="14"/>
                <c:pt idx="0">
                  <c:v>1500</c:v>
                </c:pt>
                <c:pt idx="1">
                  <c:v>1200</c:v>
                </c:pt>
                <c:pt idx="2">
                  <c:v>1800</c:v>
                </c:pt>
                <c:pt idx="3">
                  <c:v>2000</c:v>
                </c:pt>
                <c:pt idx="4">
                  <c:v>1600</c:v>
                </c:pt>
                <c:pt idx="5">
                  <c:v>1000</c:v>
                </c:pt>
                <c:pt idx="6">
                  <c:v>900</c:v>
                </c:pt>
                <c:pt idx="7">
                  <c:v>1400</c:v>
                </c:pt>
                <c:pt idx="8">
                  <c:v>1300</c:v>
                </c:pt>
                <c:pt idx="9">
                  <c:v>1700</c:v>
                </c:pt>
                <c:pt idx="10">
                  <c:v>1900</c:v>
                </c:pt>
                <c:pt idx="11">
                  <c:v>1500</c:v>
                </c:pt>
                <c:pt idx="12">
                  <c:v>1100</c:v>
                </c:pt>
                <c:pt idx="13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2-4E77-9F81-31E69318C70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Sheet1!$D$3:$D$16</c:f>
              <c:numCache>
                <c:formatCode>General</c:formatCode>
                <c:ptCount val="14"/>
                <c:pt idx="0">
                  <c:v>75</c:v>
                </c:pt>
                <c:pt idx="1">
                  <c:v>60</c:v>
                </c:pt>
                <c:pt idx="2">
                  <c:v>90</c:v>
                </c:pt>
                <c:pt idx="3">
                  <c:v>80</c:v>
                </c:pt>
                <c:pt idx="4">
                  <c:v>64</c:v>
                </c:pt>
                <c:pt idx="5">
                  <c:v>50</c:v>
                </c:pt>
                <c:pt idx="6">
                  <c:v>45</c:v>
                </c:pt>
                <c:pt idx="7">
                  <c:v>70</c:v>
                </c:pt>
                <c:pt idx="8">
                  <c:v>65</c:v>
                </c:pt>
                <c:pt idx="9">
                  <c:v>85</c:v>
                </c:pt>
                <c:pt idx="10">
                  <c:v>95</c:v>
                </c:pt>
                <c:pt idx="11">
                  <c:v>75</c:v>
                </c:pt>
                <c:pt idx="12">
                  <c:v>55</c:v>
                </c:pt>
                <c:pt idx="1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2-4E77-9F81-31E69318C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9344080"/>
        <c:axId val="299356080"/>
      </c:barChart>
      <c:catAx>
        <c:axId val="29934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56080"/>
        <c:crosses val="autoZero"/>
        <c:auto val="1"/>
        <c:lblAlgn val="ctr"/>
        <c:lblOffset val="100"/>
        <c:noMultiLvlLbl val="0"/>
      </c:catAx>
      <c:valAx>
        <c:axId val="2993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4408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Sheet1!$G$24:$H$24</c:f>
              <c:strCache>
                <c:ptCount val="2"/>
                <c:pt idx="0">
                  <c:v>Week 1</c:v>
                </c:pt>
                <c:pt idx="1">
                  <c:v>Week 2</c:v>
                </c:pt>
              </c:strCache>
            </c:strRef>
          </c:cat>
          <c:val>
            <c:numRef>
              <c:f>Sheet1!$G$25:$H$25</c:f>
              <c:numCache>
                <c:formatCode>General</c:formatCode>
                <c:ptCount val="2"/>
                <c:pt idx="0">
                  <c:v>4.6399999999999997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D-46B9-A67D-313191C02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0"/>
          <c:order val="10"/>
          <c:tx>
            <c:strRef>
              <c:f>Sheet1!$M$2</c:f>
              <c:strCache>
                <c:ptCount val="1"/>
                <c:pt idx="0">
                  <c:v>Ratio Of Fraud Transaction In Percent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Sheet1!$B$3:$B$15</c:f>
              <c:strCache>
                <c:ptCount val="13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Monday2</c:v>
                </c:pt>
                <c:pt idx="8">
                  <c:v>Tuesday2</c:v>
                </c:pt>
                <c:pt idx="9">
                  <c:v>Wednesday2</c:v>
                </c:pt>
                <c:pt idx="10">
                  <c:v>Thursday2</c:v>
                </c:pt>
                <c:pt idx="11">
                  <c:v>Friday2</c:v>
                </c:pt>
                <c:pt idx="12">
                  <c:v>Saturday2</c:v>
                </c:pt>
              </c:strCache>
            </c:strRef>
          </c:cat>
          <c:val>
            <c:numRef>
              <c:f>Sheet1!$M$3:$M$15</c:f>
              <c:numCache>
                <c:formatCode>General</c:formatCode>
                <c:ptCount val="13"/>
                <c:pt idx="0">
                  <c:v>11.904761904761903</c:v>
                </c:pt>
                <c:pt idx="1">
                  <c:v>7.1428571428571423</c:v>
                </c:pt>
                <c:pt idx="2">
                  <c:v>9.5238095238095237</c:v>
                </c:pt>
                <c:pt idx="3">
                  <c:v>14.285714285714285</c:v>
                </c:pt>
                <c:pt idx="4">
                  <c:v>4.7619047619047619</c:v>
                </c:pt>
                <c:pt idx="5">
                  <c:v>2.3809523809523809</c:v>
                </c:pt>
                <c:pt idx="6">
                  <c:v>0</c:v>
                </c:pt>
                <c:pt idx="7">
                  <c:v>7.1428571428571423</c:v>
                </c:pt>
                <c:pt idx="8">
                  <c:v>9.5238095238095237</c:v>
                </c:pt>
                <c:pt idx="9">
                  <c:v>11.904761904761903</c:v>
                </c:pt>
                <c:pt idx="10">
                  <c:v>14.285714285714285</c:v>
                </c:pt>
                <c:pt idx="11">
                  <c:v>4.7619047619047619</c:v>
                </c:pt>
                <c:pt idx="12">
                  <c:v>2.3809523809523809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37-40BC-9705-586ECAB15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495648"/>
        <c:axId val="496496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Sheet1!$C$2</c15:sqref>
                        </c15:formulaRef>
                      </c:ext>
                    </c:extLst>
                    <c:strCache>
                      <c:ptCount val="1"/>
                      <c:pt idx="0">
                        <c:v>Website Visits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Sheet1!$C$3:$C$15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1500</c:v>
                      </c:pt>
                      <c:pt idx="1">
                        <c:v>1200</c:v>
                      </c:pt>
                      <c:pt idx="2">
                        <c:v>1800</c:v>
                      </c:pt>
                      <c:pt idx="3">
                        <c:v>2000</c:v>
                      </c:pt>
                      <c:pt idx="4">
                        <c:v>1600</c:v>
                      </c:pt>
                      <c:pt idx="5">
                        <c:v>1000</c:v>
                      </c:pt>
                      <c:pt idx="6">
                        <c:v>900</c:v>
                      </c:pt>
                      <c:pt idx="7">
                        <c:v>1400</c:v>
                      </c:pt>
                      <c:pt idx="8">
                        <c:v>1300</c:v>
                      </c:pt>
                      <c:pt idx="9">
                        <c:v>1700</c:v>
                      </c:pt>
                      <c:pt idx="10">
                        <c:v>1900</c:v>
                      </c:pt>
                      <c:pt idx="11">
                        <c:v>1500</c:v>
                      </c:pt>
                      <c:pt idx="12">
                        <c:v>1100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A37-40BC-9705-586ECAB1513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Sheet1!$D$2</c15:sqref>
                        </c15:formulaRef>
                      </c:ext>
                    </c:extLst>
                    <c:strCache>
                      <c:ptCount val="1"/>
                      <c:pt idx="0">
                        <c:v>Purchases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Sheet1!$D$3:$D$15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60</c:v>
                      </c:pt>
                      <c:pt idx="2">
                        <c:v>90</c:v>
                      </c:pt>
                      <c:pt idx="3">
                        <c:v>80</c:v>
                      </c:pt>
                      <c:pt idx="4">
                        <c:v>64</c:v>
                      </c:pt>
                      <c:pt idx="5">
                        <c:v>50</c:v>
                      </c:pt>
                      <c:pt idx="6">
                        <c:v>45</c:v>
                      </c:pt>
                      <c:pt idx="7">
                        <c:v>70</c:v>
                      </c:pt>
                      <c:pt idx="8">
                        <c:v>65</c:v>
                      </c:pt>
                      <c:pt idx="9">
                        <c:v>85</c:v>
                      </c:pt>
                      <c:pt idx="10">
                        <c:v>95</c:v>
                      </c:pt>
                      <c:pt idx="11">
                        <c:v>75</c:v>
                      </c:pt>
                      <c:pt idx="12">
                        <c:v>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A37-40BC-9705-586ECAB1513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Sheet1!$E$2</c15:sqref>
                        </c15:formulaRef>
                      </c:ext>
                    </c:extLst>
                    <c:strCache>
                      <c:ptCount val="1"/>
                      <c:pt idx="0">
                        <c:v>Electronics Sales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Sheet1!$E$3:$E$15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20000</c:v>
                      </c:pt>
                      <c:pt idx="1">
                        <c:v>18000</c:v>
                      </c:pt>
                      <c:pt idx="2">
                        <c:v>22000</c:v>
                      </c:pt>
                      <c:pt idx="3">
                        <c:v>25000</c:v>
                      </c:pt>
                      <c:pt idx="4">
                        <c:v>20000</c:v>
                      </c:pt>
                      <c:pt idx="5">
                        <c:v>15000</c:v>
                      </c:pt>
                      <c:pt idx="6">
                        <c:v>12000</c:v>
                      </c:pt>
                      <c:pt idx="7">
                        <c:v>18000</c:v>
                      </c:pt>
                      <c:pt idx="8">
                        <c:v>20000</c:v>
                      </c:pt>
                      <c:pt idx="9">
                        <c:v>21000</c:v>
                      </c:pt>
                      <c:pt idx="10">
                        <c:v>24000</c:v>
                      </c:pt>
                      <c:pt idx="11">
                        <c:v>20000</c:v>
                      </c:pt>
                      <c:pt idx="12">
                        <c:v>15000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A37-40BC-9705-586ECAB1513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Sheet1!$F$2</c15:sqref>
                        </c15:formulaRef>
                      </c:ext>
                    </c:extLst>
                    <c:strCache>
                      <c:ptCount val="1"/>
                      <c:pt idx="0">
                        <c:v>Clothing Sales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Sheet1!$F$3:$F$15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30000</c:v>
                      </c:pt>
                      <c:pt idx="1">
                        <c:v>25000</c:v>
                      </c:pt>
                      <c:pt idx="2">
                        <c:v>35000</c:v>
                      </c:pt>
                      <c:pt idx="3">
                        <c:v>30000</c:v>
                      </c:pt>
                      <c:pt idx="4">
                        <c:v>28000</c:v>
                      </c:pt>
                      <c:pt idx="5">
                        <c:v>20000</c:v>
                      </c:pt>
                      <c:pt idx="6">
                        <c:v>18000</c:v>
                      </c:pt>
                      <c:pt idx="7">
                        <c:v>28000</c:v>
                      </c:pt>
                      <c:pt idx="8">
                        <c:v>30000</c:v>
                      </c:pt>
                      <c:pt idx="9">
                        <c:v>34000</c:v>
                      </c:pt>
                      <c:pt idx="10">
                        <c:v>35000</c:v>
                      </c:pt>
                      <c:pt idx="11">
                        <c:v>28000</c:v>
                      </c:pt>
                      <c:pt idx="12">
                        <c:v>22000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A37-40BC-9705-586ECAB1513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Sheet1!$G$2</c15:sqref>
                        </c15:formulaRef>
                      </c:ext>
                    </c:extLst>
                    <c:strCache>
                      <c:ptCount val="1"/>
                      <c:pt idx="0">
                        <c:v>Groceries Sales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Sheet1!$G$3:$G$15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10000</c:v>
                      </c:pt>
                      <c:pt idx="1">
                        <c:v>9000</c:v>
                      </c:pt>
                      <c:pt idx="2">
                        <c:v>12000</c:v>
                      </c:pt>
                      <c:pt idx="3">
                        <c:v>15000</c:v>
                      </c:pt>
                      <c:pt idx="4">
                        <c:v>12000</c:v>
                      </c:pt>
                      <c:pt idx="5">
                        <c:v>8000</c:v>
                      </c:pt>
                      <c:pt idx="6">
                        <c:v>6000</c:v>
                      </c:pt>
                      <c:pt idx="7">
                        <c:v>12000</c:v>
                      </c:pt>
                      <c:pt idx="8">
                        <c:v>10000</c:v>
                      </c:pt>
                      <c:pt idx="9">
                        <c:v>11000</c:v>
                      </c:pt>
                      <c:pt idx="10">
                        <c:v>13000</c:v>
                      </c:pt>
                      <c:pt idx="11">
                        <c:v>12000</c:v>
                      </c:pt>
                      <c:pt idx="12">
                        <c:v>9000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A37-40BC-9705-586ECAB1513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Sheet1!$H$2</c15:sqref>
                        </c15:formulaRef>
                      </c:ext>
                    </c:extLst>
                    <c:strCache>
                      <c:ptCount val="1"/>
                      <c:pt idx="0">
                        <c:v>Fraud Transactions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Sheet1!$H$3:$H$15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5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5</c:v>
                      </c:pt>
                      <c:pt idx="10">
                        <c:v>6</c:v>
                      </c:pt>
                      <c:pt idx="11">
                        <c:v>2</c:v>
                      </c:pt>
                      <c:pt idx="12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A37-40BC-9705-586ECAB1513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Sheet1!$I$2</c15:sqref>
                        </c15:formulaRef>
                      </c:ext>
                    </c:extLst>
                    <c:strCache>
                      <c:ptCount val="1"/>
                      <c:pt idx="0">
                        <c:v>Electronic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Sheet1!$I$3:$I$15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2.5284450063211124E-2</c:v>
                      </c:pt>
                      <c:pt idx="1">
                        <c:v>2.2756005056890013E-2</c:v>
                      </c:pt>
                      <c:pt idx="2">
                        <c:v>2.7812895069532238E-2</c:v>
                      </c:pt>
                      <c:pt idx="3">
                        <c:v>3.1605562579013903E-2</c:v>
                      </c:pt>
                      <c:pt idx="4">
                        <c:v>2.5284450063211124E-2</c:v>
                      </c:pt>
                      <c:pt idx="5">
                        <c:v>1.8963337547408345E-2</c:v>
                      </c:pt>
                      <c:pt idx="6">
                        <c:v>1.5170670037926675E-2</c:v>
                      </c:pt>
                      <c:pt idx="7">
                        <c:v>2.2756005056890013E-2</c:v>
                      </c:pt>
                      <c:pt idx="8">
                        <c:v>2.5284450063211124E-2</c:v>
                      </c:pt>
                      <c:pt idx="9">
                        <c:v>2.6548672566371681E-2</c:v>
                      </c:pt>
                      <c:pt idx="10">
                        <c:v>3.0341340075853349E-2</c:v>
                      </c:pt>
                      <c:pt idx="11">
                        <c:v>2.5284450063211124E-2</c:v>
                      </c:pt>
                      <c:pt idx="12">
                        <c:v>1.8963337547408345E-2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A37-40BC-9705-586ECAB1513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Sheet1!$J$2</c15:sqref>
                        </c15:formulaRef>
                      </c:ext>
                    </c:extLst>
                    <c:strCache>
                      <c:ptCount val="1"/>
                      <c:pt idx="0">
                        <c:v>Clothing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Sheet1!$J$3:$J$15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3.7926675094816689E-2</c:v>
                      </c:pt>
                      <c:pt idx="1">
                        <c:v>3.1605562579013903E-2</c:v>
                      </c:pt>
                      <c:pt idx="2">
                        <c:v>4.4247787610619468E-2</c:v>
                      </c:pt>
                      <c:pt idx="3">
                        <c:v>3.7926675094816689E-2</c:v>
                      </c:pt>
                      <c:pt idx="4">
                        <c:v>3.5398230088495575E-2</c:v>
                      </c:pt>
                      <c:pt idx="5">
                        <c:v>2.5284450063211124E-2</c:v>
                      </c:pt>
                      <c:pt idx="6">
                        <c:v>2.2756005056890013E-2</c:v>
                      </c:pt>
                      <c:pt idx="7">
                        <c:v>3.5398230088495575E-2</c:v>
                      </c:pt>
                      <c:pt idx="8">
                        <c:v>3.7926675094816689E-2</c:v>
                      </c:pt>
                      <c:pt idx="9">
                        <c:v>4.2983565107458911E-2</c:v>
                      </c:pt>
                      <c:pt idx="10">
                        <c:v>4.4247787610619468E-2</c:v>
                      </c:pt>
                      <c:pt idx="11">
                        <c:v>3.5398230088495575E-2</c:v>
                      </c:pt>
                      <c:pt idx="12">
                        <c:v>2.7812895069532238E-2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A37-40BC-9705-586ECAB1513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Sheet1!$K$2</c15:sqref>
                        </c15:formulaRef>
                      </c:ext>
                    </c:extLst>
                    <c:strCache>
                      <c:ptCount val="1"/>
                      <c:pt idx="0">
                        <c:v>Grocery Ratio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Sheet1!$K$3:$K$15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1.2642225031605562E-2</c:v>
                      </c:pt>
                      <c:pt idx="1">
                        <c:v>1.1378002528445006E-2</c:v>
                      </c:pt>
                      <c:pt idx="2">
                        <c:v>1.5170670037926675E-2</c:v>
                      </c:pt>
                      <c:pt idx="3">
                        <c:v>1.8963337547408345E-2</c:v>
                      </c:pt>
                      <c:pt idx="4">
                        <c:v>1.5170670037926675E-2</c:v>
                      </c:pt>
                      <c:pt idx="5">
                        <c:v>1.0113780025284451E-2</c:v>
                      </c:pt>
                      <c:pt idx="6">
                        <c:v>7.5853350189633373E-3</c:v>
                      </c:pt>
                      <c:pt idx="7">
                        <c:v>1.5170670037926675E-2</c:v>
                      </c:pt>
                      <c:pt idx="8">
                        <c:v>1.2642225031605562E-2</c:v>
                      </c:pt>
                      <c:pt idx="9">
                        <c:v>1.3906447534766119E-2</c:v>
                      </c:pt>
                      <c:pt idx="10">
                        <c:v>1.643489254108723E-2</c:v>
                      </c:pt>
                      <c:pt idx="11">
                        <c:v>1.5170670037926675E-2</c:v>
                      </c:pt>
                      <c:pt idx="12">
                        <c:v>1.1378002528445006E-2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DA37-40BC-9705-586ECAB1513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Sheet1!$L$2</c15:sqref>
                        </c15:formulaRef>
                      </c:ext>
                    </c:extLst>
                    <c:strCache>
                      <c:ptCount val="1"/>
                      <c:pt idx="0">
                        <c:v>Ratio Of Fraud Transaction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Sheet1!$B$3:$B$15</c15:sqref>
                        </c15:formulaRef>
                      </c:ext>
                    </c:extLst>
                    <c:strCache>
                      <c:ptCount val="13"/>
                      <c:pt idx="0">
                        <c:v>Monday</c:v>
                      </c:pt>
                      <c:pt idx="1">
                        <c:v>Tuesday</c:v>
                      </c:pt>
                      <c:pt idx="2">
                        <c:v>Wednesday</c:v>
                      </c:pt>
                      <c:pt idx="3">
                        <c:v>Thursday</c:v>
                      </c:pt>
                      <c:pt idx="4">
                        <c:v>Friday</c:v>
                      </c:pt>
                      <c:pt idx="5">
                        <c:v>Saturday</c:v>
                      </c:pt>
                      <c:pt idx="6">
                        <c:v>Sunday</c:v>
                      </c:pt>
                      <c:pt idx="7">
                        <c:v>Monday2</c:v>
                      </c:pt>
                      <c:pt idx="8">
                        <c:v>Tuesday2</c:v>
                      </c:pt>
                      <c:pt idx="9">
                        <c:v>Wednesday2</c:v>
                      </c:pt>
                      <c:pt idx="10">
                        <c:v>Thursday2</c:v>
                      </c:pt>
                      <c:pt idx="11">
                        <c:v>Friday2</c:v>
                      </c:pt>
                      <c:pt idx="12">
                        <c:v>Saturday2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Sheet1!$L$3:$L$15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0.11904761904761904</c:v>
                      </c:pt>
                      <c:pt idx="1">
                        <c:v>7.1428571428571425E-2</c:v>
                      </c:pt>
                      <c:pt idx="2">
                        <c:v>9.5238095238095233E-2</c:v>
                      </c:pt>
                      <c:pt idx="3">
                        <c:v>0.14285714285714285</c:v>
                      </c:pt>
                      <c:pt idx="4">
                        <c:v>4.7619047619047616E-2</c:v>
                      </c:pt>
                      <c:pt idx="5">
                        <c:v>2.3809523809523808E-2</c:v>
                      </c:pt>
                      <c:pt idx="6">
                        <c:v>0</c:v>
                      </c:pt>
                      <c:pt idx="7">
                        <c:v>7.1428571428571425E-2</c:v>
                      </c:pt>
                      <c:pt idx="8">
                        <c:v>9.5238095238095233E-2</c:v>
                      </c:pt>
                      <c:pt idx="9">
                        <c:v>0.11904761904761904</c:v>
                      </c:pt>
                      <c:pt idx="10">
                        <c:v>0.14285714285714285</c:v>
                      </c:pt>
                      <c:pt idx="11">
                        <c:v>4.7619047619047616E-2</c:v>
                      </c:pt>
                      <c:pt idx="12">
                        <c:v>2.3809523809523808E-2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DA37-40BC-9705-586ECAB15135}"/>
                  </c:ext>
                </c:extLst>
              </c15:ser>
            </c15:filteredLineSeries>
          </c:ext>
        </c:extLst>
      </c:lineChart>
      <c:catAx>
        <c:axId val="49649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96128"/>
        <c:crosses val="autoZero"/>
        <c:auto val="1"/>
        <c:lblAlgn val="ctr"/>
        <c:lblOffset val="100"/>
        <c:noMultiLvlLbl val="0"/>
      </c:catAx>
      <c:valAx>
        <c:axId val="49649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469446</xdr:colOff>
      <xdr:row>1</xdr:row>
      <xdr:rowOff>261258</xdr:rowOff>
    </xdr:from>
    <xdr:to>
      <xdr:col>21</xdr:col>
      <xdr:colOff>142875</xdr:colOff>
      <xdr:row>8</xdr:row>
      <xdr:rowOff>187779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70B816-538C-E1AF-86ED-8B52CBD1F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469446</xdr:colOff>
      <xdr:row>10</xdr:row>
      <xdr:rowOff>193222</xdr:rowOff>
    </xdr:from>
    <xdr:to>
      <xdr:col>21</xdr:col>
      <xdr:colOff>142875</xdr:colOff>
      <xdr:row>20</xdr:row>
      <xdr:rowOff>146957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7C0FC2-1CE9-1671-AA05-D10D82199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197303</xdr:colOff>
      <xdr:row>22</xdr:row>
      <xdr:rowOff>84364</xdr:rowOff>
    </xdr:from>
    <xdr:to>
      <xdr:col>20</xdr:col>
      <xdr:colOff>483053</xdr:colOff>
      <xdr:row>36</xdr:row>
      <xdr:rowOff>160564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41F2CF-D5D8-B26E-0AFA-01E2FD54C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483053</xdr:colOff>
      <xdr:row>18</xdr:row>
      <xdr:rowOff>29936</xdr:rowOff>
    </xdr:from>
    <xdr:to>
      <xdr:col>11</xdr:col>
      <xdr:colOff>1326696</xdr:colOff>
      <xdr:row>31</xdr:row>
      <xdr:rowOff>119743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4E72BE-360E-CCD2-CF97-7D11E4BAD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2969-D9BF-4EA2-BE9C-15AFD00E9B8B}">
  <dimension ref="B2:M29"/>
  <sheetViews>
    <sheetView tabSelected="1" zoomScale="70" zoomScaleNormal="70" workbookViewId="0">
      <selection activeCell="I8" sqref="I8"/>
    </sheetView>
  </sheetViews>
  <sheetFormatPr defaultRowHeight="15" x14ac:dyDescent="0.25"/>
  <cols>
    <col min="2" max="2" width="18.28515625" customWidth="1"/>
    <col min="3" max="3" width="18.5703125" customWidth="1"/>
    <col min="4" max="4" width="14.85546875" customWidth="1"/>
    <col min="5" max="5" width="16" customWidth="1"/>
    <col min="6" max="6" width="14.85546875" customWidth="1"/>
    <col min="7" max="7" width="13.140625" customWidth="1"/>
    <col min="8" max="8" width="13.85546875" customWidth="1"/>
    <col min="9" max="9" width="21.42578125" customWidth="1"/>
    <col min="10" max="10" width="18" customWidth="1"/>
    <col min="11" max="11" width="16.5703125" customWidth="1"/>
    <col min="12" max="12" width="21.7109375" customWidth="1"/>
    <col min="13" max="13" width="23.7109375" customWidth="1"/>
  </cols>
  <sheetData>
    <row r="2" spans="2:13" ht="9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3" t="s">
        <v>35</v>
      </c>
      <c r="J2" s="1" t="s">
        <v>22</v>
      </c>
      <c r="K2" s="1" t="s">
        <v>23</v>
      </c>
      <c r="L2" s="1" t="s">
        <v>25</v>
      </c>
      <c r="M2" s="1" t="s">
        <v>26</v>
      </c>
    </row>
    <row r="3" spans="2:13" x14ac:dyDescent="0.25">
      <c r="B3" s="2" t="s">
        <v>7</v>
      </c>
      <c r="C3" s="2">
        <v>1500</v>
      </c>
      <c r="D3" s="2">
        <v>75</v>
      </c>
      <c r="E3" s="2">
        <v>20000</v>
      </c>
      <c r="F3" s="2">
        <v>30000</v>
      </c>
      <c r="G3" s="2">
        <v>10000</v>
      </c>
      <c r="H3" s="2">
        <v>5</v>
      </c>
      <c r="I3" cm="1">
        <f t="array" ref="I3:I16">(E3:E16)/E18</f>
        <v>2.5284450063211124E-2</v>
      </c>
      <c r="J3" cm="1">
        <f t="array" ref="J3:J16">(F3:F16)/E18</f>
        <v>3.7926675094816689E-2</v>
      </c>
      <c r="K3" cm="1">
        <f t="array" ref="K3:K16">(G3:G16)/E18</f>
        <v>1.2642225031605562E-2</v>
      </c>
      <c r="L3" cm="1">
        <f t="array" ref="L3:L16">(H3:H16)/H17</f>
        <v>0.11904761904761904</v>
      </c>
      <c r="M3" cm="1">
        <f t="array" ref="M3:M16">(L3:L16)*100</f>
        <v>11.904761904761903</v>
      </c>
    </row>
    <row r="4" spans="2:13" x14ac:dyDescent="0.25">
      <c r="B4" s="2" t="s">
        <v>8</v>
      </c>
      <c r="C4" s="2">
        <v>1200</v>
      </c>
      <c r="D4" s="2">
        <v>60</v>
      </c>
      <c r="E4" s="2">
        <v>18000</v>
      </c>
      <c r="F4" s="2">
        <v>25000</v>
      </c>
      <c r="G4" s="2">
        <v>9000</v>
      </c>
      <c r="H4" s="2">
        <v>3</v>
      </c>
      <c r="I4">
        <v>2.2756005056890013E-2</v>
      </c>
      <c r="J4">
        <v>3.1605562579013903E-2</v>
      </c>
      <c r="K4">
        <v>1.1378002528445006E-2</v>
      </c>
      <c r="L4">
        <v>7.1428571428571425E-2</v>
      </c>
      <c r="M4">
        <v>7.1428571428571423</v>
      </c>
    </row>
    <row r="5" spans="2:13" ht="28.5" x14ac:dyDescent="0.25">
      <c r="B5" s="2" t="s">
        <v>9</v>
      </c>
      <c r="C5" s="2">
        <v>1800</v>
      </c>
      <c r="D5" s="2">
        <v>90</v>
      </c>
      <c r="E5" s="2">
        <v>22000</v>
      </c>
      <c r="F5" s="2">
        <v>35000</v>
      </c>
      <c r="G5" s="2">
        <v>12000</v>
      </c>
      <c r="H5" s="2">
        <v>4</v>
      </c>
      <c r="I5">
        <v>2.7812895069532238E-2</v>
      </c>
      <c r="J5">
        <v>4.4247787610619468E-2</v>
      </c>
      <c r="K5">
        <v>1.5170670037926675E-2</v>
      </c>
      <c r="L5">
        <v>9.5238095238095233E-2</v>
      </c>
      <c r="M5">
        <v>9.5238095238095237</v>
      </c>
    </row>
    <row r="6" spans="2:13" ht="28.5" x14ac:dyDescent="0.25">
      <c r="B6" s="2" t="s">
        <v>10</v>
      </c>
      <c r="C6" s="2">
        <v>2000</v>
      </c>
      <c r="D6" s="2">
        <v>80</v>
      </c>
      <c r="E6" s="2">
        <v>25000</v>
      </c>
      <c r="F6" s="2">
        <v>30000</v>
      </c>
      <c r="G6" s="2">
        <v>15000</v>
      </c>
      <c r="H6" s="2">
        <v>6</v>
      </c>
      <c r="I6">
        <v>3.1605562579013903E-2</v>
      </c>
      <c r="J6">
        <v>3.7926675094816689E-2</v>
      </c>
      <c r="K6">
        <v>1.8963337547408345E-2</v>
      </c>
      <c r="L6">
        <v>0.14285714285714285</v>
      </c>
      <c r="M6">
        <v>14.285714285714285</v>
      </c>
    </row>
    <row r="7" spans="2:13" x14ac:dyDescent="0.25">
      <c r="B7" s="2" t="s">
        <v>11</v>
      </c>
      <c r="C7" s="2">
        <v>1600</v>
      </c>
      <c r="D7" s="2">
        <v>64</v>
      </c>
      <c r="E7" s="2">
        <v>20000</v>
      </c>
      <c r="F7" s="2">
        <v>28000</v>
      </c>
      <c r="G7" s="2">
        <v>12000</v>
      </c>
      <c r="H7" s="2">
        <v>2</v>
      </c>
      <c r="I7">
        <v>2.5284450063211124E-2</v>
      </c>
      <c r="J7">
        <v>3.5398230088495575E-2</v>
      </c>
      <c r="K7">
        <v>1.5170670037926675E-2</v>
      </c>
      <c r="L7">
        <v>4.7619047619047616E-2</v>
      </c>
      <c r="M7">
        <v>4.7619047619047619</v>
      </c>
    </row>
    <row r="8" spans="2:13" ht="28.5" x14ac:dyDescent="0.25">
      <c r="B8" s="2" t="s">
        <v>12</v>
      </c>
      <c r="C8" s="2">
        <v>1000</v>
      </c>
      <c r="D8" s="2">
        <v>50</v>
      </c>
      <c r="E8" s="2">
        <v>15000</v>
      </c>
      <c r="F8" s="2">
        <v>20000</v>
      </c>
      <c r="G8" s="2">
        <v>8000</v>
      </c>
      <c r="H8" s="2">
        <v>1</v>
      </c>
      <c r="I8">
        <v>1.8963337547408345E-2</v>
      </c>
      <c r="J8">
        <v>2.5284450063211124E-2</v>
      </c>
      <c r="K8">
        <v>1.0113780025284451E-2</v>
      </c>
      <c r="L8">
        <v>2.3809523809523808E-2</v>
      </c>
      <c r="M8">
        <v>2.3809523809523809</v>
      </c>
    </row>
    <row r="9" spans="2:13" x14ac:dyDescent="0.25">
      <c r="B9" s="2" t="s">
        <v>13</v>
      </c>
      <c r="C9" s="2">
        <v>900</v>
      </c>
      <c r="D9" s="2">
        <v>45</v>
      </c>
      <c r="E9" s="2">
        <v>12000</v>
      </c>
      <c r="F9" s="2">
        <v>18000</v>
      </c>
      <c r="G9" s="2">
        <v>6000</v>
      </c>
      <c r="H9" s="2">
        <v>0</v>
      </c>
      <c r="I9">
        <v>1.5170670037926675E-2</v>
      </c>
      <c r="J9">
        <v>2.2756005056890013E-2</v>
      </c>
      <c r="K9">
        <v>7.5853350189633373E-3</v>
      </c>
      <c r="L9">
        <v>0</v>
      </c>
      <c r="M9">
        <v>0</v>
      </c>
    </row>
    <row r="10" spans="2:13" ht="28.5" x14ac:dyDescent="0.25">
      <c r="B10" s="2" t="s">
        <v>14</v>
      </c>
      <c r="C10" s="2">
        <v>1400</v>
      </c>
      <c r="D10" s="2">
        <v>70</v>
      </c>
      <c r="E10" s="2">
        <v>18000</v>
      </c>
      <c r="F10" s="2">
        <v>28000</v>
      </c>
      <c r="G10" s="2">
        <v>12000</v>
      </c>
      <c r="H10" s="2">
        <v>3</v>
      </c>
      <c r="I10">
        <v>2.2756005056890013E-2</v>
      </c>
      <c r="J10">
        <v>3.5398230088495575E-2</v>
      </c>
      <c r="K10">
        <v>1.5170670037926675E-2</v>
      </c>
      <c r="L10">
        <v>7.1428571428571425E-2</v>
      </c>
      <c r="M10">
        <v>7.1428571428571423</v>
      </c>
    </row>
    <row r="11" spans="2:13" ht="28.5" x14ac:dyDescent="0.25">
      <c r="B11" s="2" t="s">
        <v>15</v>
      </c>
      <c r="C11" s="2">
        <v>1300</v>
      </c>
      <c r="D11" s="2">
        <v>65</v>
      </c>
      <c r="E11" s="2">
        <v>20000</v>
      </c>
      <c r="F11" s="2">
        <v>30000</v>
      </c>
      <c r="G11" s="2">
        <v>10000</v>
      </c>
      <c r="H11" s="2">
        <v>4</v>
      </c>
      <c r="I11">
        <v>2.5284450063211124E-2</v>
      </c>
      <c r="J11">
        <v>3.7926675094816689E-2</v>
      </c>
      <c r="K11">
        <v>1.2642225031605562E-2</v>
      </c>
      <c r="L11">
        <v>9.5238095238095233E-2</v>
      </c>
      <c r="M11">
        <v>9.5238095238095237</v>
      </c>
    </row>
    <row r="12" spans="2:13" ht="28.5" x14ac:dyDescent="0.25">
      <c r="B12" s="2" t="s">
        <v>16</v>
      </c>
      <c r="C12" s="2">
        <v>1700</v>
      </c>
      <c r="D12" s="2">
        <v>85</v>
      </c>
      <c r="E12" s="2">
        <v>21000</v>
      </c>
      <c r="F12" s="2">
        <v>34000</v>
      </c>
      <c r="G12" s="2">
        <v>11000</v>
      </c>
      <c r="H12" s="2">
        <v>5</v>
      </c>
      <c r="I12">
        <v>2.6548672566371681E-2</v>
      </c>
      <c r="J12">
        <v>4.2983565107458911E-2</v>
      </c>
      <c r="K12">
        <v>1.3906447534766119E-2</v>
      </c>
      <c r="L12">
        <v>0.11904761904761904</v>
      </c>
      <c r="M12">
        <v>11.904761904761903</v>
      </c>
    </row>
    <row r="13" spans="2:13" ht="28.5" x14ac:dyDescent="0.25">
      <c r="B13" s="2" t="s">
        <v>17</v>
      </c>
      <c r="C13" s="2">
        <v>1900</v>
      </c>
      <c r="D13" s="2">
        <v>95</v>
      </c>
      <c r="E13" s="2">
        <v>24000</v>
      </c>
      <c r="F13" s="2">
        <v>35000</v>
      </c>
      <c r="G13" s="2">
        <v>13000</v>
      </c>
      <c r="H13" s="2">
        <v>6</v>
      </c>
      <c r="I13">
        <v>3.0341340075853349E-2</v>
      </c>
      <c r="J13">
        <v>4.4247787610619468E-2</v>
      </c>
      <c r="K13">
        <v>1.643489254108723E-2</v>
      </c>
      <c r="L13">
        <v>0.14285714285714285</v>
      </c>
      <c r="M13">
        <v>14.285714285714285</v>
      </c>
    </row>
    <row r="14" spans="2:13" x14ac:dyDescent="0.25">
      <c r="B14" s="2" t="s">
        <v>18</v>
      </c>
      <c r="C14" s="2">
        <v>1500</v>
      </c>
      <c r="D14" s="2">
        <v>75</v>
      </c>
      <c r="E14" s="2">
        <v>20000</v>
      </c>
      <c r="F14" s="2">
        <v>28000</v>
      </c>
      <c r="G14" s="2">
        <v>12000</v>
      </c>
      <c r="H14" s="2">
        <v>2</v>
      </c>
      <c r="I14">
        <v>2.5284450063211124E-2</v>
      </c>
      <c r="J14">
        <v>3.5398230088495575E-2</v>
      </c>
      <c r="K14">
        <v>1.5170670037926675E-2</v>
      </c>
      <c r="L14">
        <v>4.7619047619047616E-2</v>
      </c>
      <c r="M14">
        <v>4.7619047619047619</v>
      </c>
    </row>
    <row r="15" spans="2:13" ht="28.5" x14ac:dyDescent="0.25">
      <c r="B15" s="2" t="s">
        <v>19</v>
      </c>
      <c r="C15" s="2">
        <v>1100</v>
      </c>
      <c r="D15" s="2">
        <v>55</v>
      </c>
      <c r="E15" s="2">
        <v>15000</v>
      </c>
      <c r="F15" s="2">
        <v>22000</v>
      </c>
      <c r="G15" s="2">
        <v>9000</v>
      </c>
      <c r="H15" s="2">
        <v>1</v>
      </c>
      <c r="I15">
        <v>1.8963337547408345E-2</v>
      </c>
      <c r="J15">
        <v>2.7812895069532238E-2</v>
      </c>
      <c r="K15">
        <v>1.1378002528445006E-2</v>
      </c>
      <c r="L15">
        <v>2.3809523809523808E-2</v>
      </c>
      <c r="M15">
        <v>2.3809523809523809</v>
      </c>
    </row>
    <row r="16" spans="2:13" x14ac:dyDescent="0.25">
      <c r="B16" s="2" t="s">
        <v>20</v>
      </c>
      <c r="C16" s="2">
        <v>950</v>
      </c>
      <c r="D16" s="2">
        <v>48</v>
      </c>
      <c r="E16" s="2">
        <v>13000</v>
      </c>
      <c r="F16" s="2">
        <v>19000</v>
      </c>
      <c r="G16" s="2">
        <v>7000</v>
      </c>
      <c r="H16" s="2">
        <v>0</v>
      </c>
      <c r="I16">
        <v>1.643489254108723E-2</v>
      </c>
      <c r="J16">
        <v>2.402022756005057E-2</v>
      </c>
      <c r="K16">
        <v>8.8495575221238937E-3</v>
      </c>
      <c r="L16">
        <v>0</v>
      </c>
      <c r="M16">
        <v>0</v>
      </c>
    </row>
    <row r="17" spans="2:11" x14ac:dyDescent="0.25">
      <c r="E17" s="3">
        <f t="shared" ref="E17:G17" si="0">SUM(E3:E16)</f>
        <v>263000</v>
      </c>
      <c r="F17" s="3">
        <f>SUM(F3:F16)</f>
        <v>382000</v>
      </c>
      <c r="G17" s="3">
        <f t="shared" si="0"/>
        <v>146000</v>
      </c>
      <c r="H17" s="3">
        <f>SUM(H3:H16)</f>
        <v>42</v>
      </c>
      <c r="I17" s="3">
        <f>SUM(I3:I16)</f>
        <v>0.33249051833122628</v>
      </c>
      <c r="J17" s="3">
        <f>SUM(J3:J16)</f>
        <v>0.48293299620733249</v>
      </c>
      <c r="K17" s="3">
        <f>SUM(K3:K16)</f>
        <v>0.18457648546144123</v>
      </c>
    </row>
    <row r="18" spans="2:11" x14ac:dyDescent="0.25">
      <c r="B18" s="2" t="s">
        <v>21</v>
      </c>
      <c r="E18">
        <f>E17+F17+G17</f>
        <v>791000</v>
      </c>
    </row>
    <row r="20" spans="2:11" ht="28.5" x14ac:dyDescent="0.25">
      <c r="B20" s="2" t="s">
        <v>24</v>
      </c>
      <c r="C20" t="s">
        <v>28</v>
      </c>
    </row>
    <row r="21" spans="2:11" x14ac:dyDescent="0.25">
      <c r="C21" t="s">
        <v>27</v>
      </c>
    </row>
    <row r="22" spans="2:11" x14ac:dyDescent="0.25">
      <c r="C22" t="s">
        <v>29</v>
      </c>
    </row>
    <row r="24" spans="2:11" x14ac:dyDescent="0.25">
      <c r="B24" s="3" t="s">
        <v>30</v>
      </c>
      <c r="C24" s="3" t="s">
        <v>31</v>
      </c>
      <c r="D24" s="3" t="s">
        <v>32</v>
      </c>
      <c r="E24" s="3" t="s">
        <v>33</v>
      </c>
      <c r="G24" s="3" t="s">
        <v>38</v>
      </c>
      <c r="H24" s="3" t="s">
        <v>39</v>
      </c>
    </row>
    <row r="25" spans="2:11" x14ac:dyDescent="0.25">
      <c r="B25">
        <f>SUM(D3:D9)</f>
        <v>464</v>
      </c>
      <c r="C25">
        <f>SUM(D10:D16)</f>
        <v>493</v>
      </c>
      <c r="D25">
        <f>C25-B25</f>
        <v>29</v>
      </c>
      <c r="E25">
        <f>(D25/B25)*100</f>
        <v>6.25</v>
      </c>
      <c r="G25">
        <v>4.6399999999999997</v>
      </c>
      <c r="H25">
        <v>5</v>
      </c>
    </row>
    <row r="27" spans="2:11" x14ac:dyDescent="0.25">
      <c r="B27" t="s">
        <v>34</v>
      </c>
    </row>
    <row r="28" spans="2:11" x14ac:dyDescent="0.25">
      <c r="B28" t="s">
        <v>36</v>
      </c>
    </row>
    <row r="29" spans="2:11" x14ac:dyDescent="0.25">
      <c r="B29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 Room PC</dc:creator>
  <cp:lastModifiedBy>Class Room PC</cp:lastModifiedBy>
  <dcterms:created xsi:type="dcterms:W3CDTF">2026-02-09T05:26:47Z</dcterms:created>
  <dcterms:modified xsi:type="dcterms:W3CDTF">2026-02-09T07:46:09Z</dcterms:modified>
</cp:coreProperties>
</file>